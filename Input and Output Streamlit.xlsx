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si-my.sharepoint.com/personal/matteo_palucci_supsi_ch/Documents/Desktop/SEneCa/"/>
    </mc:Choice>
  </mc:AlternateContent>
  <xr:revisionPtr revIDLastSave="9" documentId="8_{66AB5E74-7B18-4269-B928-99CA671C10DB}" xr6:coauthVersionLast="47" xr6:coauthVersionMax="47" xr10:uidLastSave="{8CC26676-4F75-495A-9B1A-F6081CADC53F}"/>
  <bookViews>
    <workbookView xWindow="-110" yWindow="-21710" windowWidth="38620" windowHeight="21100" tabRatio="705" xr2:uid="{B9177ACD-C732-4210-952B-EADD8A8D5047}"/>
  </bookViews>
  <sheets>
    <sheet name="Input" sheetId="1" r:id="rId1"/>
    <sheet name="Output PV e Batterie" sheetId="2" r:id="rId2"/>
    <sheet name="Output Risc e Risanamento" sheetId="3" r:id="rId3"/>
    <sheet name="Output Veicoli" sheetId="4" r:id="rId4"/>
    <sheet name="Output Elettricità" sheetId="5" r:id="rId5"/>
    <sheet name="Exploratory 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6" l="1"/>
  <c r="G8" i="6"/>
  <c r="L34" i="1" a="1"/>
  <c r="L34" i="1" s="1"/>
  <c r="K34" i="1" a="1"/>
  <c r="K34" i="1" s="1"/>
  <c r="M34" i="1" a="1"/>
  <c r="M34" i="1" s="1"/>
  <c r="N34" i="1" a="1"/>
  <c r="N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<sst xmlns="http://schemas.openxmlformats.org/spreadsheetml/2006/main" count="403" uniqueCount="234">
  <si>
    <t>Max</t>
  </si>
  <si>
    <t>Frazione costo rimborsata</t>
  </si>
  <si>
    <t>FiT</t>
  </si>
  <si>
    <t>%</t>
  </si>
  <si>
    <t>ct./kWh</t>
  </si>
  <si>
    <t>PV</t>
  </si>
  <si>
    <t>Batterie</t>
  </si>
  <si>
    <t>-</t>
  </si>
  <si>
    <t>Pompe di calore</t>
  </si>
  <si>
    <t>Stufe a legna</t>
  </si>
  <si>
    <t>Collettori solari</t>
  </si>
  <si>
    <t>Min</t>
  </si>
  <si>
    <t>Temperatura</t>
  </si>
  <si>
    <t>Gas</t>
  </si>
  <si>
    <t>Olio</t>
  </si>
  <si>
    <t>Incentivo specifico</t>
  </si>
  <si>
    <t>CHF/m2</t>
  </si>
  <si>
    <t>Macro categoria</t>
  </si>
  <si>
    <t>Micro categoria</t>
  </si>
  <si>
    <t>Tecnologia</t>
  </si>
  <si>
    <t>Input</t>
  </si>
  <si>
    <t>Unità</t>
  </si>
  <si>
    <t>CHF</t>
  </si>
  <si>
    <t>Rete termica</t>
  </si>
  <si>
    <t>Risanamento</t>
  </si>
  <si>
    <t>Incentivo</t>
  </si>
  <si>
    <t>EV colonnina</t>
  </si>
  <si>
    <t>Tassa</t>
  </si>
  <si>
    <t>Tassa CO2</t>
  </si>
  <si>
    <t>CHF/tonCO2</t>
  </si>
  <si>
    <t>Cantonali</t>
  </si>
  <si>
    <t>Federali</t>
  </si>
  <si>
    <t>Incentivi</t>
  </si>
  <si>
    <t>Regolamenti</t>
  </si>
  <si>
    <t>Divieto riscaldamento fossile</t>
  </si>
  <si>
    <t>Veicoli</t>
  </si>
  <si>
    <t>Assunzioni</t>
  </si>
  <si>
    <t>Costi</t>
  </si>
  <si>
    <t># input</t>
  </si>
  <si>
    <t>Elettricità</t>
  </si>
  <si>
    <t>Combustibili veicoli</t>
  </si>
  <si>
    <t>Altro</t>
  </si>
  <si>
    <t>Aumento temperatura</t>
  </si>
  <si>
    <t xml:space="preserve">Impianti centralizzati </t>
  </si>
  <si>
    <t>Hydro dam</t>
  </si>
  <si>
    <t>PV e Batterie</t>
  </si>
  <si>
    <t>X</t>
  </si>
  <si>
    <t>Energy Community</t>
  </si>
  <si>
    <t>Riscaldamento e Risanamento</t>
  </si>
  <si>
    <t>Obbigo nuovi edifici/tetti</t>
  </si>
  <si>
    <t>MW</t>
  </si>
  <si>
    <t>Variable name</t>
  </si>
  <si>
    <t>PV rebate cantonal</t>
  </si>
  <si>
    <t>Battery Rebate</t>
  </si>
  <si>
    <t>PV rebate federal</t>
  </si>
  <si>
    <t>Possibilità creazione RCPv</t>
  </si>
  <si>
    <t>Energy Community scenario</t>
  </si>
  <si>
    <t>PV reg scenario</t>
  </si>
  <si>
    <t>Grant share HP</t>
  </si>
  <si>
    <t>Grant share PelletBoiler</t>
  </si>
  <si>
    <t>Grant share DH</t>
  </si>
  <si>
    <t>CO2 tax</t>
  </si>
  <si>
    <t>MuKEn scenario</t>
  </si>
  <si>
    <t>CHF/l</t>
  </si>
  <si>
    <t>EV charger incentive input</t>
  </si>
  <si>
    <t>Retrofit incentive input</t>
  </si>
  <si>
    <t>EV</t>
  </si>
  <si>
    <t>Diminuzione annuale costo batterie</t>
  </si>
  <si>
    <t>Diminuzione annuale costo PV</t>
  </si>
  <si>
    <t>Diminuzione annuale costo EV</t>
  </si>
  <si>
    <t>EV annual cost reduction input</t>
  </si>
  <si>
    <t>Descrizione</t>
  </si>
  <si>
    <t>Potenza installata per Type edificio residenziale</t>
  </si>
  <si>
    <t>Unitàdi misura</t>
  </si>
  <si>
    <t>Capacity PV &lt; 30 kW total</t>
  </si>
  <si>
    <t>Capacity PV &gt; 100 kW total</t>
  </si>
  <si>
    <t>Capacity PV 30 - 100 kW total</t>
  </si>
  <si>
    <t>kW</t>
  </si>
  <si>
    <t>Potenza installata (taglia &lt; 30 kW) per edificio non residenziale</t>
  </si>
  <si>
    <t>Potenza installata (taglia 30-100 kW) per edificio non residenziale</t>
  </si>
  <si>
    <t>Potenza installata (taglia &gt; 100 kW) per edificio non residenziale</t>
  </si>
  <si>
    <t>Share of buildings with PV by Type[Type]</t>
  </si>
  <si>
    <t>PV residential power by Type[Type]</t>
  </si>
  <si>
    <t>Anni rappresentazione grafico</t>
  </si>
  <si>
    <t>2011-2050</t>
  </si>
  <si>
    <t>Share of buildings with PV by District[District]</t>
  </si>
  <si>
    <t>Share edifici con PV per tipo di edificio</t>
  </si>
  <si>
    <t>Share edifici con PV per distretto</t>
  </si>
  <si>
    <t>Battery residential Type[Type]</t>
  </si>
  <si>
    <t>MWh</t>
  </si>
  <si>
    <t>Capacità batterie residenziale per tipo di edificio</t>
  </si>
  <si>
    <t>Total Battery capacity &lt; 100 kW</t>
  </si>
  <si>
    <t>Total Battery capacity &gt; 100 kW</t>
  </si>
  <si>
    <t>Capacità batterie edificio non residenziale in caso di impianto PV di taglia &lt; 100 kW</t>
  </si>
  <si>
    <t>Capacità batterie edificio non residenziale in caso di impianto PV di taglia &gt; 100 kW</t>
  </si>
  <si>
    <t>Total Battery capacity District[District]</t>
  </si>
  <si>
    <t>Capacità batterie totale batterie</t>
  </si>
  <si>
    <t>Batteries by Type[Type]</t>
  </si>
  <si>
    <t>Share edifici residenziali con una batteria per tipo di edificio</t>
  </si>
  <si>
    <t>Electricity price[District]</t>
  </si>
  <si>
    <t>CHF/kWh</t>
  </si>
  <si>
    <t>Levy Evolution</t>
  </si>
  <si>
    <t>Cantonal Levy Evolution</t>
  </si>
  <si>
    <t>Supplemento al costo elettricità per finanaziare incentivi cantonali</t>
  </si>
  <si>
    <t>Supplemento al costo elettricità per finanaziare incentivi federali</t>
  </si>
  <si>
    <t>Prezzo elettiricità per il consumatore finale per distretto</t>
  </si>
  <si>
    <t>Total PV electricity production</t>
  </si>
  <si>
    <t>Total PV electricity injected in the grid</t>
  </si>
  <si>
    <t>Total PV electricity SC</t>
  </si>
  <si>
    <t>GWh</t>
  </si>
  <si>
    <t>Totale energia prodotta PV annuale</t>
  </si>
  <si>
    <t>Totale energia PV annuale iniettata in rete</t>
  </si>
  <si>
    <t>Totale energia autoconsumata PV annuale</t>
  </si>
  <si>
    <t>Total annual demand Districts[District]</t>
  </si>
  <si>
    <t>PV electricity SC by District[District]</t>
  </si>
  <si>
    <t>Total PV electricity production District[District]</t>
  </si>
  <si>
    <t>Totale energia prodotta PV annuale per distretto</t>
  </si>
  <si>
    <t>Totale domanda elettricità annuale per distretto</t>
  </si>
  <si>
    <t>Totale energia autoconsumata PV annuale per distretto</t>
  </si>
  <si>
    <t>Average electricity and heating and retrofit cost</t>
  </si>
  <si>
    <t>Costo medio annuale per energia per famiglia</t>
  </si>
  <si>
    <t>Specific final consumption</t>
  </si>
  <si>
    <t>kWh/m2y</t>
  </si>
  <si>
    <t>Specific net final consumption</t>
  </si>
  <si>
    <t>Consumo finale specifico residenziale</t>
  </si>
  <si>
    <t>Consumo finale specifico residenziale (al netto del calore ambiente)</t>
  </si>
  <si>
    <t>Cumulative CO2 emissions</t>
  </si>
  <si>
    <t>Emissioni cumulate edifici residenziali</t>
  </si>
  <si>
    <t>Annual consumption Oil</t>
  </si>
  <si>
    <t>Annual consumption Gas</t>
  </si>
  <si>
    <t>Annual consumption Wood</t>
  </si>
  <si>
    <t>Annual consumption Electricity EH</t>
  </si>
  <si>
    <t>Annual consumption Electricity HP</t>
  </si>
  <si>
    <t>Annual consumption Ambient Heat</t>
  </si>
  <si>
    <t>Annual consumption Solar</t>
  </si>
  <si>
    <t>Annual consumption DH</t>
  </si>
  <si>
    <t>Consumo annuale Olio</t>
  </si>
  <si>
    <t>Consumo annuale Gas</t>
  </si>
  <si>
    <t>Consumo annuale elettricità EH</t>
  </si>
  <si>
    <t>Consumo annuale elettricità HP</t>
  </si>
  <si>
    <t>Consumo annuale Wood</t>
  </si>
  <si>
    <t>Consumo annuale calore ambiente</t>
  </si>
  <si>
    <t>Consumo annuale solare</t>
  </si>
  <si>
    <t>Consumo annuale reti termiche</t>
  </si>
  <si>
    <t>MtonCO2</t>
  </si>
  <si>
    <t>Building area by Performance[Performance]</t>
  </si>
  <si>
    <t>Mio m2</t>
  </si>
  <si>
    <t>Superficie totale riscaldata residenziale per categoria di efficienza energetica</t>
  </si>
  <si>
    <t>Annual incentives Renovation</t>
  </si>
  <si>
    <t>Mio CHF</t>
  </si>
  <si>
    <t>Incentivi annuali per risanamento residenziale</t>
  </si>
  <si>
    <t>Annual incentives Heating Technologies</t>
  </si>
  <si>
    <t>Annual cantonal funds needed</t>
  </si>
  <si>
    <t>Incentivi annuali per riscaldamento residenziale</t>
  </si>
  <si>
    <t>Totale fondi cantonali necessari per incentivi</t>
  </si>
  <si>
    <t>ICE fuel price input</t>
  </si>
  <si>
    <t>Costo carburante</t>
  </si>
  <si>
    <t>CO2 coefficient ICE</t>
  </si>
  <si>
    <t>Coefficiente tassa annuale veicoli ICE</t>
  </si>
  <si>
    <t>Adoption vehicles smooth[Vechicle]</t>
  </si>
  <si>
    <t>Vehicles by type[Vechicle]</t>
  </si>
  <si>
    <t>Cumulative CO2 emissions vehicles</t>
  </si>
  <si>
    <t>Annual CO2 emissions vehicles flow</t>
  </si>
  <si>
    <t>EV by district[District]</t>
  </si>
  <si>
    <t>vehicles</t>
  </si>
  <si>
    <t>Immatricolazioni annuali veicoli per tipo</t>
  </si>
  <si>
    <t>Parco veicoli per tipo</t>
  </si>
  <si>
    <t>Emissioni cumulate  veicoli</t>
  </si>
  <si>
    <t>Emissioni annuali  veicoli</t>
  </si>
  <si>
    <t>BEV per distretto</t>
  </si>
  <si>
    <t>Electricity dispatched[Month,Hour,Supplier]</t>
  </si>
  <si>
    <t>Hourly available supply by Supplier[Month,Hour,Supplier]</t>
  </si>
  <si>
    <t>Hourly exported electricity[Month,Hour,Supplier]</t>
  </si>
  <si>
    <t>Electricity consumed[Month,Hour,Supplier]</t>
  </si>
  <si>
    <t>PHS hourly demand[Month,Hour]</t>
  </si>
  <si>
    <t>Elettricità oraria dispacciata in rete</t>
  </si>
  <si>
    <t>2024-2035-2050</t>
  </si>
  <si>
    <t>Elettricità oraria esportata</t>
  </si>
  <si>
    <t>Elettricità oraria consumata</t>
  </si>
  <si>
    <t>Domanda oraria PHS</t>
  </si>
  <si>
    <t>Elettricità oraria offerta nel mercato</t>
  </si>
  <si>
    <t>Base</t>
  </si>
  <si>
    <t>Provvedimento 1.2</t>
  </si>
  <si>
    <t>Provvedimento 1.2 PECC</t>
  </si>
  <si>
    <t>PHSn + PHS seasonal</t>
  </si>
  <si>
    <t>Provvedimento 1.3 PECC</t>
  </si>
  <si>
    <t>Provvedimento 1.3</t>
  </si>
  <si>
    <t>RoR</t>
  </si>
  <si>
    <t>Provvedimento 1.4 PECC</t>
  </si>
  <si>
    <t>Provvedimento 1.4</t>
  </si>
  <si>
    <t>Provvedimento 1.7 PECC</t>
  </si>
  <si>
    <t>Provvedimento 1.7</t>
  </si>
  <si>
    <t>Deflussi minimi LPAc</t>
  </si>
  <si>
    <t>Applicazione LPAc</t>
  </si>
  <si>
    <t>Cambiamento climatico hydro dam</t>
  </si>
  <si>
    <t>Cambiamento climatico Hydro</t>
  </si>
  <si>
    <t>TSO charge</t>
  </si>
  <si>
    <t>Componente prezzo elettiricità per costi TSO</t>
  </si>
  <si>
    <t>DSO charge[District]</t>
  </si>
  <si>
    <t>Componente prezzo elettiricità per costi DSO</t>
  </si>
  <si>
    <t>Energy price</t>
  </si>
  <si>
    <t>Componente prezzo elettiricità per costo energia</t>
  </si>
  <si>
    <t>Annual grid upgrading cost District[District]</t>
  </si>
  <si>
    <t>Costo annuale upgrade rete bassa tensione</t>
  </si>
  <si>
    <t>Policy</t>
  </si>
  <si>
    <t>PV uncertain cost</t>
  </si>
  <si>
    <t>PV uncertain remuneration</t>
  </si>
  <si>
    <t>Retrofit uncertain cost</t>
  </si>
  <si>
    <t>Interest rate uncertainty</t>
  </si>
  <si>
    <t>Import price uncertainty</t>
  </si>
  <si>
    <t>Battery uncertain cost</t>
  </si>
  <si>
    <t>Construction rate uncertainty</t>
  </si>
  <si>
    <t>Demolition rate uncertainty</t>
  </si>
  <si>
    <t>Industry demand uncertainty</t>
  </si>
  <si>
    <t>Tertiary demand uncertainty</t>
  </si>
  <si>
    <t>Oil/gas lifetime uncertainty</t>
  </si>
  <si>
    <t>Wood/pellet lifetime uncertainty</t>
  </si>
  <si>
    <t>HP lifetime uncertainty</t>
  </si>
  <si>
    <t>Oil/gas carrier cost uncertainty</t>
  </si>
  <si>
    <t>Wood/pellet carrier cost uncertainty</t>
  </si>
  <si>
    <t>HP cost uncertainty</t>
  </si>
  <si>
    <t>HP efficiency uncertainty</t>
  </si>
  <si>
    <t>Uncertainty</t>
  </si>
  <si>
    <t>Cantonal PV support</t>
  </si>
  <si>
    <t>Renewable heating incentives</t>
  </si>
  <si>
    <t>Output</t>
  </si>
  <si>
    <t>Inequality index levy</t>
  </si>
  <si>
    <t>Inequality index CO2 tax</t>
  </si>
  <si>
    <t>Inequality index cost</t>
  </si>
  <si>
    <t>Average cost</t>
  </si>
  <si>
    <t>PV annual production</t>
  </si>
  <si>
    <t>Average net specific consumption</t>
  </si>
  <si>
    <t>Cumulative cantonal spending</t>
  </si>
  <si>
    <t>Total PV electricity SC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</si>
</sst>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CED1-ADF5-4E3A-8D95-AABCB30FA95C}">
  <dimension ref="A1:N34"/>
  <sheetViews>
    <sheetView tabSelected="1" zoomScale="70" zoomScaleNormal="85" workbookViewId="0">
      <selection activeCell="P8" sqref="P8"/>
    </sheetView>
  </sheetViews>
  <sheetFormatPr defaultRowHeight="14.4" x14ac:dyDescent="0.55000000000000004"/>
  <cols>
    <col min="1" max="1" width="13.47265625" bestFit="1" customWidth="1"/>
    <col min="2" max="2" width="17.3125" bestFit="1" customWidth="1"/>
    <col min="3" max="3" width="23.20703125" bestFit="1" customWidth="1"/>
    <col min="4" max="4" width="36.89453125" bestFit="1" customWidth="1"/>
    <col min="8" max="8" width="14.5234375" customWidth="1"/>
    <col min="9" max="9" width="24.578125" bestFit="1" customWidth="1"/>
    <col min="11" max="11" width="10.734375" bestFit="1" customWidth="1"/>
    <col min="12" max="12" width="24.68359375" bestFit="1" customWidth="1"/>
    <col min="25" max="26" width="8.20703125" customWidth="1"/>
    <col min="27" max="27" width="12.5234375" bestFit="1" customWidth="1"/>
  </cols>
  <sheetData>
    <row r="1" spans="1:14" x14ac:dyDescent="0.55000000000000004">
      <c r="A1" t="s">
        <v>17</v>
      </c>
      <c r="B1" t="s">
        <v>18</v>
      </c>
      <c r="C1" t="s">
        <v>19</v>
      </c>
      <c r="D1" t="s">
        <v>20</v>
      </c>
      <c r="E1" t="s">
        <v>11</v>
      </c>
      <c r="F1" t="s">
        <v>0</v>
      </c>
      <c r="G1" t="s">
        <v>181</v>
      </c>
      <c r="H1" t="s">
        <v>21</v>
      </c>
      <c r="I1" t="s">
        <v>51</v>
      </c>
      <c r="J1" t="s">
        <v>38</v>
      </c>
      <c r="K1" t="s">
        <v>45</v>
      </c>
      <c r="L1" t="s">
        <v>48</v>
      </c>
      <c r="M1" t="s">
        <v>35</v>
      </c>
      <c r="N1" t="s">
        <v>39</v>
      </c>
    </row>
    <row r="2" spans="1:14" x14ac:dyDescent="0.55000000000000004">
      <c r="A2" t="s">
        <v>32</v>
      </c>
      <c r="B2" t="s">
        <v>30</v>
      </c>
      <c r="C2" t="s">
        <v>5</v>
      </c>
      <c r="D2" t="s">
        <v>1</v>
      </c>
      <c r="E2">
        <v>0</v>
      </c>
      <c r="F2">
        <v>0.2</v>
      </c>
      <c r="G2">
        <v>0.1</v>
      </c>
      <c r="H2" t="s">
        <v>7</v>
      </c>
      <c r="I2" t="s">
        <v>52</v>
      </c>
      <c r="J2">
        <v>3</v>
      </c>
      <c r="K2" s="2" t="s">
        <v>46</v>
      </c>
      <c r="L2" s="1"/>
      <c r="N2" s="2"/>
    </row>
    <row r="3" spans="1:14" x14ac:dyDescent="0.55000000000000004">
      <c r="D3" t="s">
        <v>2</v>
      </c>
      <c r="E3">
        <v>0</v>
      </c>
      <c r="F3">
        <v>10</v>
      </c>
      <c r="G3">
        <v>0</v>
      </c>
      <c r="H3" t="s">
        <v>4</v>
      </c>
      <c r="I3" t="s">
        <v>2</v>
      </c>
      <c r="J3">
        <v>3</v>
      </c>
      <c r="K3" s="2" t="s">
        <v>46</v>
      </c>
      <c r="N3" s="2"/>
    </row>
    <row r="4" spans="1:14" x14ac:dyDescent="0.55000000000000004">
      <c r="D4" t="s">
        <v>2</v>
      </c>
      <c r="E4">
        <v>0</v>
      </c>
      <c r="F4">
        <v>5</v>
      </c>
      <c r="G4">
        <v>0</v>
      </c>
      <c r="H4" t="s">
        <v>4</v>
      </c>
      <c r="I4" t="s">
        <v>2</v>
      </c>
      <c r="J4">
        <v>2</v>
      </c>
      <c r="K4" s="2"/>
      <c r="N4" s="2" t="s">
        <v>46</v>
      </c>
    </row>
    <row r="5" spans="1:14" x14ac:dyDescent="0.55000000000000004">
      <c r="C5" t="s">
        <v>6</v>
      </c>
      <c r="D5" t="s">
        <v>1</v>
      </c>
      <c r="E5">
        <v>0</v>
      </c>
      <c r="F5">
        <v>0.5</v>
      </c>
      <c r="G5">
        <v>0</v>
      </c>
      <c r="H5" t="s">
        <v>7</v>
      </c>
      <c r="I5" t="s">
        <v>53</v>
      </c>
      <c r="J5">
        <v>3</v>
      </c>
      <c r="K5" s="2" t="s">
        <v>46</v>
      </c>
    </row>
    <row r="6" spans="1:14" x14ac:dyDescent="0.55000000000000004">
      <c r="C6" t="s">
        <v>8</v>
      </c>
      <c r="D6" t="s">
        <v>1</v>
      </c>
      <c r="E6">
        <v>0</v>
      </c>
      <c r="F6">
        <v>0.4</v>
      </c>
      <c r="G6">
        <v>0.2</v>
      </c>
      <c r="H6" t="s">
        <v>7</v>
      </c>
      <c r="I6" t="s">
        <v>58</v>
      </c>
      <c r="J6">
        <v>3</v>
      </c>
      <c r="L6" s="2" t="s">
        <v>46</v>
      </c>
    </row>
    <row r="7" spans="1:14" x14ac:dyDescent="0.55000000000000004">
      <c r="C7" t="s">
        <v>9</v>
      </c>
      <c r="D7" t="s">
        <v>1</v>
      </c>
      <c r="E7">
        <v>0</v>
      </c>
      <c r="F7">
        <v>0.4</v>
      </c>
      <c r="G7">
        <v>0.2</v>
      </c>
      <c r="H7" t="s">
        <v>7</v>
      </c>
      <c r="I7" t="s">
        <v>59</v>
      </c>
      <c r="J7">
        <v>3</v>
      </c>
      <c r="L7" s="2" t="s">
        <v>46</v>
      </c>
    </row>
    <row r="8" spans="1:14" x14ac:dyDescent="0.55000000000000004">
      <c r="C8" t="s">
        <v>23</v>
      </c>
      <c r="D8" t="s">
        <v>1</v>
      </c>
      <c r="E8">
        <v>0</v>
      </c>
      <c r="F8">
        <v>0.4</v>
      </c>
      <c r="G8">
        <v>0.2</v>
      </c>
      <c r="H8" t="s">
        <v>7</v>
      </c>
      <c r="I8" t="s">
        <v>60</v>
      </c>
      <c r="J8">
        <v>3</v>
      </c>
      <c r="L8" s="2" t="s">
        <v>46</v>
      </c>
    </row>
    <row r="9" spans="1:14" x14ac:dyDescent="0.55000000000000004">
      <c r="C9" t="s">
        <v>24</v>
      </c>
      <c r="D9" t="s">
        <v>15</v>
      </c>
      <c r="E9">
        <v>0</v>
      </c>
      <c r="F9">
        <v>100</v>
      </c>
      <c r="G9">
        <v>50</v>
      </c>
      <c r="H9" t="s">
        <v>16</v>
      </c>
      <c r="I9" t="s">
        <v>65</v>
      </c>
      <c r="J9">
        <v>3</v>
      </c>
      <c r="L9" s="2" t="s">
        <v>46</v>
      </c>
    </row>
    <row r="10" spans="1:14" x14ac:dyDescent="0.55000000000000004">
      <c r="C10" t="s">
        <v>26</v>
      </c>
      <c r="D10" t="s">
        <v>25</v>
      </c>
      <c r="E10">
        <v>0</v>
      </c>
      <c r="F10">
        <v>4000</v>
      </c>
      <c r="G10">
        <v>2000</v>
      </c>
      <c r="H10" t="s">
        <v>22</v>
      </c>
      <c r="I10" t="s">
        <v>64</v>
      </c>
      <c r="J10">
        <v>3</v>
      </c>
      <c r="M10" s="2" t="s">
        <v>46</v>
      </c>
    </row>
    <row r="11" spans="1:14" x14ac:dyDescent="0.55000000000000004">
      <c r="B11" t="s">
        <v>31</v>
      </c>
      <c r="C11" t="s">
        <v>5</v>
      </c>
      <c r="D11" t="s">
        <v>1</v>
      </c>
      <c r="E11">
        <v>0</v>
      </c>
      <c r="F11">
        <v>0.4</v>
      </c>
      <c r="G11">
        <v>0.2</v>
      </c>
      <c r="H11" t="s">
        <v>7</v>
      </c>
      <c r="I11" t="s">
        <v>54</v>
      </c>
      <c r="J11">
        <v>3</v>
      </c>
      <c r="K11" s="2" t="s">
        <v>46</v>
      </c>
      <c r="N11" s="2" t="s">
        <v>46</v>
      </c>
    </row>
    <row r="12" spans="1:14" x14ac:dyDescent="0.55000000000000004">
      <c r="C12" t="s">
        <v>27</v>
      </c>
      <c r="D12" t="s">
        <v>28</v>
      </c>
      <c r="E12">
        <v>0</v>
      </c>
      <c r="F12">
        <v>240</v>
      </c>
      <c r="G12">
        <v>120</v>
      </c>
      <c r="H12" t="s">
        <v>29</v>
      </c>
      <c r="I12" t="s">
        <v>61</v>
      </c>
      <c r="J12">
        <v>3</v>
      </c>
      <c r="L12" s="2" t="s">
        <v>46</v>
      </c>
      <c r="M12" s="2"/>
    </row>
    <row r="13" spans="1:14" x14ac:dyDescent="0.55000000000000004">
      <c r="A13" t="s">
        <v>33</v>
      </c>
      <c r="B13" t="s">
        <v>30</v>
      </c>
      <c r="C13" t="s">
        <v>5</v>
      </c>
      <c r="D13" t="s">
        <v>49</v>
      </c>
      <c r="E13">
        <v>0</v>
      </c>
      <c r="F13">
        <v>1</v>
      </c>
      <c r="G13">
        <v>1</v>
      </c>
      <c r="H13" t="s">
        <v>7</v>
      </c>
      <c r="I13" t="s">
        <v>57</v>
      </c>
      <c r="J13">
        <v>2</v>
      </c>
      <c r="K13" s="2" t="s">
        <v>46</v>
      </c>
    </row>
    <row r="14" spans="1:14" x14ac:dyDescent="0.55000000000000004">
      <c r="C14" t="s">
        <v>34</v>
      </c>
      <c r="D14" t="s">
        <v>62</v>
      </c>
      <c r="E14">
        <v>0</v>
      </c>
      <c r="F14">
        <v>2</v>
      </c>
      <c r="G14">
        <v>1</v>
      </c>
      <c r="H14" t="s">
        <v>7</v>
      </c>
      <c r="I14" t="s">
        <v>62</v>
      </c>
      <c r="J14">
        <v>3</v>
      </c>
      <c r="L14" s="2" t="s">
        <v>46</v>
      </c>
    </row>
    <row r="15" spans="1:14" x14ac:dyDescent="0.55000000000000004">
      <c r="C15" t="s">
        <v>35</v>
      </c>
      <c r="D15" t="s">
        <v>158</v>
      </c>
      <c r="E15">
        <v>1</v>
      </c>
      <c r="F15">
        <v>4</v>
      </c>
      <c r="G15">
        <v>2</v>
      </c>
      <c r="H15" t="s">
        <v>7</v>
      </c>
      <c r="I15" t="s">
        <v>157</v>
      </c>
      <c r="J15">
        <v>4</v>
      </c>
      <c r="M15" s="2" t="s">
        <v>46</v>
      </c>
    </row>
    <row r="16" spans="1:14" x14ac:dyDescent="0.55000000000000004">
      <c r="C16" t="s">
        <v>47</v>
      </c>
      <c r="D16" t="s">
        <v>55</v>
      </c>
      <c r="E16">
        <v>0</v>
      </c>
      <c r="F16">
        <v>1</v>
      </c>
      <c r="G16">
        <v>0</v>
      </c>
      <c r="H16" t="s">
        <v>7</v>
      </c>
      <c r="I16" t="s">
        <v>56</v>
      </c>
      <c r="J16">
        <v>2</v>
      </c>
      <c r="K16" s="2" t="s">
        <v>46</v>
      </c>
    </row>
    <row r="17" spans="1:14" x14ac:dyDescent="0.55000000000000004">
      <c r="A17" t="s">
        <v>36</v>
      </c>
      <c r="B17" t="s">
        <v>37</v>
      </c>
      <c r="C17" t="s">
        <v>5</v>
      </c>
      <c r="D17" t="s">
        <v>68</v>
      </c>
      <c r="E17">
        <v>0</v>
      </c>
      <c r="F17">
        <v>-5</v>
      </c>
      <c r="H17" t="s">
        <v>3</v>
      </c>
    </row>
    <row r="18" spans="1:14" x14ac:dyDescent="0.55000000000000004">
      <c r="C18" t="s">
        <v>6</v>
      </c>
      <c r="D18" t="s">
        <v>67</v>
      </c>
      <c r="E18">
        <v>0</v>
      </c>
      <c r="F18">
        <v>5</v>
      </c>
      <c r="H18" t="s">
        <v>3</v>
      </c>
    </row>
    <row r="19" spans="1:14" x14ac:dyDescent="0.55000000000000004">
      <c r="C19" t="s">
        <v>66</v>
      </c>
      <c r="D19" t="s">
        <v>69</v>
      </c>
      <c r="E19">
        <v>0</v>
      </c>
      <c r="F19">
        <v>0.03</v>
      </c>
      <c r="G19">
        <v>0.01</v>
      </c>
      <c r="H19" t="s">
        <v>7</v>
      </c>
      <c r="I19" t="s">
        <v>70</v>
      </c>
      <c r="J19">
        <v>4</v>
      </c>
      <c r="M19" s="2" t="s">
        <v>46</v>
      </c>
    </row>
    <row r="20" spans="1:14" x14ac:dyDescent="0.55000000000000004">
      <c r="C20" t="s">
        <v>24</v>
      </c>
      <c r="D20" t="s">
        <v>6</v>
      </c>
      <c r="E20">
        <v>0</v>
      </c>
      <c r="F20">
        <v>5</v>
      </c>
      <c r="H20" t="s">
        <v>3</v>
      </c>
    </row>
    <row r="21" spans="1:14" x14ac:dyDescent="0.55000000000000004">
      <c r="D21" t="s">
        <v>9</v>
      </c>
      <c r="E21">
        <v>0</v>
      </c>
      <c r="F21">
        <v>5</v>
      </c>
      <c r="H21" t="s">
        <v>3</v>
      </c>
    </row>
    <row r="22" spans="1:14" x14ac:dyDescent="0.55000000000000004">
      <c r="D22" t="s">
        <v>10</v>
      </c>
      <c r="E22">
        <v>0</v>
      </c>
      <c r="F22">
        <v>5</v>
      </c>
      <c r="H22" t="s">
        <v>3</v>
      </c>
    </row>
    <row r="23" spans="1:14" x14ac:dyDescent="0.55000000000000004">
      <c r="C23" t="s">
        <v>40</v>
      </c>
      <c r="D23" t="s">
        <v>13</v>
      </c>
      <c r="E23">
        <v>-1</v>
      </c>
      <c r="F23">
        <v>4</v>
      </c>
      <c r="H23" t="s">
        <v>3</v>
      </c>
      <c r="M23" s="2"/>
    </row>
    <row r="24" spans="1:14" x14ac:dyDescent="0.55000000000000004">
      <c r="D24" t="s">
        <v>14</v>
      </c>
      <c r="E24">
        <v>-1</v>
      </c>
      <c r="F24">
        <v>4</v>
      </c>
      <c r="H24" t="s">
        <v>3</v>
      </c>
      <c r="M24" s="2"/>
    </row>
    <row r="25" spans="1:14" x14ac:dyDescent="0.55000000000000004">
      <c r="D25" t="s">
        <v>156</v>
      </c>
      <c r="E25">
        <v>2</v>
      </c>
      <c r="F25">
        <v>3</v>
      </c>
      <c r="G25">
        <v>2</v>
      </c>
      <c r="H25" t="s">
        <v>63</v>
      </c>
      <c r="I25" t="s">
        <v>155</v>
      </c>
      <c r="J25">
        <v>3</v>
      </c>
      <c r="M25" s="2" t="s">
        <v>46</v>
      </c>
    </row>
    <row r="26" spans="1:14" x14ac:dyDescent="0.55000000000000004">
      <c r="B26" t="s">
        <v>41</v>
      </c>
      <c r="C26" t="s">
        <v>12</v>
      </c>
      <c r="D26" t="s">
        <v>42</v>
      </c>
      <c r="M26" s="2"/>
    </row>
    <row r="27" spans="1:14" x14ac:dyDescent="0.55000000000000004">
      <c r="B27" t="s">
        <v>43</v>
      </c>
      <c r="C27" t="s">
        <v>44</v>
      </c>
      <c r="D27" t="s">
        <v>183</v>
      </c>
      <c r="E27">
        <v>0</v>
      </c>
      <c r="F27">
        <v>1</v>
      </c>
      <c r="G27">
        <v>0</v>
      </c>
      <c r="H27" t="s">
        <v>7</v>
      </c>
      <c r="I27" t="s">
        <v>182</v>
      </c>
      <c r="J27">
        <v>2</v>
      </c>
      <c r="N27" s="2" t="s">
        <v>46</v>
      </c>
    </row>
    <row r="28" spans="1:14" x14ac:dyDescent="0.55000000000000004">
      <c r="C28" t="s">
        <v>184</v>
      </c>
      <c r="D28" t="s">
        <v>185</v>
      </c>
      <c r="E28">
        <v>0</v>
      </c>
      <c r="F28">
        <v>1</v>
      </c>
      <c r="G28">
        <v>0</v>
      </c>
      <c r="H28" t="s">
        <v>7</v>
      </c>
      <c r="I28" t="s">
        <v>186</v>
      </c>
      <c r="J28">
        <v>2</v>
      </c>
      <c r="N28" s="2" t="s">
        <v>46</v>
      </c>
    </row>
    <row r="29" spans="1:14" x14ac:dyDescent="0.55000000000000004">
      <c r="C29" t="s">
        <v>187</v>
      </c>
      <c r="D29" t="s">
        <v>188</v>
      </c>
      <c r="E29">
        <v>0</v>
      </c>
      <c r="F29">
        <v>1</v>
      </c>
      <c r="G29">
        <v>0</v>
      </c>
      <c r="H29" t="s">
        <v>7</v>
      </c>
      <c r="I29" t="s">
        <v>189</v>
      </c>
      <c r="J29">
        <v>2</v>
      </c>
      <c r="N29" s="2" t="s">
        <v>46</v>
      </c>
    </row>
    <row r="30" spans="1:14" x14ac:dyDescent="0.55000000000000004">
      <c r="C30" t="s">
        <v>44</v>
      </c>
      <c r="D30" t="s">
        <v>190</v>
      </c>
      <c r="E30">
        <v>0</v>
      </c>
      <c r="F30">
        <v>1</v>
      </c>
      <c r="G30">
        <v>0</v>
      </c>
      <c r="H30" t="s">
        <v>7</v>
      </c>
      <c r="I30" t="s">
        <v>191</v>
      </c>
      <c r="J30">
        <v>2</v>
      </c>
      <c r="N30" s="2" t="s">
        <v>46</v>
      </c>
    </row>
    <row r="31" spans="1:14" x14ac:dyDescent="0.55000000000000004">
      <c r="C31" t="s">
        <v>44</v>
      </c>
      <c r="D31" t="s">
        <v>193</v>
      </c>
      <c r="E31">
        <v>0</v>
      </c>
      <c r="F31">
        <v>1</v>
      </c>
      <c r="G31">
        <v>0</v>
      </c>
      <c r="H31" t="s">
        <v>7</v>
      </c>
      <c r="I31" t="s">
        <v>192</v>
      </c>
      <c r="J31">
        <v>2</v>
      </c>
      <c r="N31" s="2"/>
    </row>
    <row r="32" spans="1:14" x14ac:dyDescent="0.55000000000000004">
      <c r="C32" t="s">
        <v>44</v>
      </c>
      <c r="D32" t="s">
        <v>194</v>
      </c>
      <c r="E32">
        <v>0</v>
      </c>
      <c r="F32">
        <v>1</v>
      </c>
      <c r="G32">
        <v>0</v>
      </c>
      <c r="H32" t="s">
        <v>7</v>
      </c>
      <c r="I32" t="s">
        <v>195</v>
      </c>
      <c r="J32">
        <v>2</v>
      </c>
      <c r="N32" s="2"/>
    </row>
    <row r="34" spans="10:14" x14ac:dyDescent="0.55000000000000004">
      <c r="J34" s="2" t="s">
        <v>46</v>
      </c>
      <c r="K34" cm="1">
        <f t="array" ref="K34">PRODUCT(IF(K2:K32=$J$34,$J$2:$J$32))</f>
        <v>324</v>
      </c>
      <c r="L34" cm="1">
        <f t="array" ref="L34">PRODUCT(IF(L2:L32=$J$34,$J$2:$J$32))</f>
        <v>729</v>
      </c>
      <c r="M34" cm="1">
        <f t="array" ref="M34">PRODUCT(IF(M2:M32=$J$34,$J$2:$J$32))</f>
        <v>144</v>
      </c>
      <c r="N34" cm="1">
        <f t="array" ref="N34">PRODUCT(IF(N2:N32=$J$34,$J$2:$J$32))</f>
        <v>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5443-699E-4E1B-83AD-B4C881367DDA}">
  <dimension ref="A1:G39"/>
  <sheetViews>
    <sheetView workbookViewId="0">
      <selection activeCell="D19" sqref="D19"/>
    </sheetView>
  </sheetViews>
  <sheetFormatPr defaultRowHeight="14.4" x14ac:dyDescent="0.55000000000000004"/>
  <cols>
    <col min="1" max="1" width="39" bestFit="1" customWidth="1"/>
    <col min="2" max="2" width="11.9453125" bestFit="1" customWidth="1"/>
    <col min="3" max="3" width="65.26171875" bestFit="1" customWidth="1"/>
    <col min="4" max="4" width="23.89453125" bestFit="1" customWidth="1"/>
    <col min="5" max="5" width="9.89453125" customWidth="1"/>
    <col min="18" max="19" width="8.20703125" customWidth="1"/>
    <col min="20" max="20" width="12.5234375" bestFit="1" customWidth="1"/>
  </cols>
  <sheetData>
    <row r="1" spans="1:7" x14ac:dyDescent="0.55000000000000004">
      <c r="A1" t="s">
        <v>51</v>
      </c>
      <c r="B1" t="s">
        <v>73</v>
      </c>
      <c r="C1" t="s">
        <v>71</v>
      </c>
      <c r="D1" t="s">
        <v>83</v>
      </c>
    </row>
    <row r="2" spans="1:7" x14ac:dyDescent="0.55000000000000004">
      <c r="A2" t="s">
        <v>82</v>
      </c>
      <c r="B2" t="s">
        <v>50</v>
      </c>
      <c r="C2" t="s">
        <v>72</v>
      </c>
      <c r="D2" s="2" t="s">
        <v>84</v>
      </c>
      <c r="E2" s="1"/>
      <c r="G2" s="2"/>
    </row>
    <row r="3" spans="1:7" x14ac:dyDescent="0.55000000000000004">
      <c r="A3" t="s">
        <v>74</v>
      </c>
      <c r="B3" t="s">
        <v>77</v>
      </c>
      <c r="C3" t="s">
        <v>78</v>
      </c>
      <c r="D3" s="2" t="s">
        <v>84</v>
      </c>
      <c r="G3" s="2"/>
    </row>
    <row r="4" spans="1:7" x14ac:dyDescent="0.55000000000000004">
      <c r="A4" t="s">
        <v>76</v>
      </c>
      <c r="B4" t="s">
        <v>77</v>
      </c>
      <c r="C4" t="s">
        <v>79</v>
      </c>
      <c r="D4" s="2" t="s">
        <v>84</v>
      </c>
    </row>
    <row r="5" spans="1:7" x14ac:dyDescent="0.55000000000000004">
      <c r="A5" t="s">
        <v>75</v>
      </c>
      <c r="B5" t="s">
        <v>77</v>
      </c>
      <c r="C5" t="s">
        <v>80</v>
      </c>
      <c r="D5" s="2" t="s">
        <v>84</v>
      </c>
      <c r="E5" s="2"/>
    </row>
    <row r="6" spans="1:7" x14ac:dyDescent="0.55000000000000004">
      <c r="A6" t="s">
        <v>81</v>
      </c>
      <c r="B6" t="s">
        <v>7</v>
      </c>
      <c r="C6" t="s">
        <v>86</v>
      </c>
      <c r="D6">
        <v>2050</v>
      </c>
      <c r="E6" s="2"/>
    </row>
    <row r="7" spans="1:7" x14ac:dyDescent="0.55000000000000004">
      <c r="A7" t="s">
        <v>85</v>
      </c>
      <c r="B7" t="s">
        <v>7</v>
      </c>
      <c r="C7" t="s">
        <v>87</v>
      </c>
      <c r="D7">
        <v>2050</v>
      </c>
      <c r="E7" s="2"/>
    </row>
    <row r="8" spans="1:7" x14ac:dyDescent="0.55000000000000004">
      <c r="A8" t="s">
        <v>88</v>
      </c>
      <c r="B8" t="s">
        <v>89</v>
      </c>
      <c r="C8" t="s">
        <v>90</v>
      </c>
      <c r="D8" s="2" t="s">
        <v>84</v>
      </c>
      <c r="E8" s="2"/>
    </row>
    <row r="9" spans="1:7" x14ac:dyDescent="0.55000000000000004">
      <c r="A9" t="s">
        <v>91</v>
      </c>
      <c r="B9" t="s">
        <v>89</v>
      </c>
      <c r="C9" t="s">
        <v>93</v>
      </c>
      <c r="D9" s="2" t="s">
        <v>84</v>
      </c>
      <c r="F9" s="2"/>
    </row>
    <row r="10" spans="1:7" x14ac:dyDescent="0.55000000000000004">
      <c r="A10" t="s">
        <v>92</v>
      </c>
      <c r="B10" t="s">
        <v>89</v>
      </c>
      <c r="C10" t="s">
        <v>94</v>
      </c>
      <c r="D10" s="2" t="s">
        <v>84</v>
      </c>
      <c r="G10" s="2"/>
    </row>
    <row r="11" spans="1:7" x14ac:dyDescent="0.55000000000000004">
      <c r="A11" t="s">
        <v>95</v>
      </c>
      <c r="B11" t="s">
        <v>89</v>
      </c>
      <c r="C11" t="s">
        <v>96</v>
      </c>
      <c r="D11">
        <v>2050</v>
      </c>
      <c r="E11" s="2"/>
      <c r="F11" s="2"/>
    </row>
    <row r="12" spans="1:7" x14ac:dyDescent="0.55000000000000004">
      <c r="A12" t="s">
        <v>97</v>
      </c>
      <c r="B12" t="s">
        <v>7</v>
      </c>
      <c r="C12" t="s">
        <v>98</v>
      </c>
      <c r="D12" s="2">
        <v>2050</v>
      </c>
    </row>
    <row r="13" spans="1:7" x14ac:dyDescent="0.55000000000000004">
      <c r="A13" t="s">
        <v>196</v>
      </c>
      <c r="B13" t="s">
        <v>100</v>
      </c>
      <c r="C13" t="s">
        <v>197</v>
      </c>
      <c r="D13" s="2" t="s">
        <v>84</v>
      </c>
    </row>
    <row r="14" spans="1:7" x14ac:dyDescent="0.55000000000000004">
      <c r="A14" t="s">
        <v>198</v>
      </c>
      <c r="B14" t="s">
        <v>100</v>
      </c>
      <c r="C14" t="s">
        <v>199</v>
      </c>
      <c r="D14" s="2" t="s">
        <v>84</v>
      </c>
    </row>
    <row r="15" spans="1:7" x14ac:dyDescent="0.55000000000000004">
      <c r="A15" t="s">
        <v>200</v>
      </c>
      <c r="B15" t="s">
        <v>100</v>
      </c>
      <c r="C15" t="s">
        <v>201</v>
      </c>
      <c r="D15" s="2" t="s">
        <v>84</v>
      </c>
      <c r="E15" s="2"/>
    </row>
    <row r="16" spans="1:7" x14ac:dyDescent="0.55000000000000004">
      <c r="A16" t="s">
        <v>99</v>
      </c>
      <c r="B16" t="s">
        <v>100</v>
      </c>
      <c r="C16" t="s">
        <v>105</v>
      </c>
      <c r="D16" s="2" t="s">
        <v>84</v>
      </c>
      <c r="E16" s="2"/>
    </row>
    <row r="17" spans="1:7" x14ac:dyDescent="0.55000000000000004">
      <c r="A17" t="s">
        <v>101</v>
      </c>
      <c r="B17" t="s">
        <v>100</v>
      </c>
      <c r="C17" t="s">
        <v>104</v>
      </c>
      <c r="D17" s="2" t="s">
        <v>84</v>
      </c>
      <c r="F17" s="2"/>
    </row>
    <row r="18" spans="1:7" x14ac:dyDescent="0.55000000000000004">
      <c r="A18" t="s">
        <v>102</v>
      </c>
      <c r="B18" t="s">
        <v>100</v>
      </c>
      <c r="C18" t="s">
        <v>103</v>
      </c>
      <c r="D18" s="2" t="s">
        <v>84</v>
      </c>
      <c r="F18" s="2"/>
    </row>
    <row r="19" spans="1:7" x14ac:dyDescent="0.55000000000000004">
      <c r="A19" t="s">
        <v>202</v>
      </c>
      <c r="B19" t="s">
        <v>22</v>
      </c>
      <c r="C19" t="s">
        <v>203</v>
      </c>
      <c r="D19" s="2" t="s">
        <v>84</v>
      </c>
      <c r="F19" s="2"/>
    </row>
    <row r="20" spans="1:7" x14ac:dyDescent="0.55000000000000004">
      <c r="A20" t="s">
        <v>106</v>
      </c>
      <c r="B20" t="s">
        <v>109</v>
      </c>
      <c r="C20" t="s">
        <v>110</v>
      </c>
      <c r="D20" s="2" t="s">
        <v>84</v>
      </c>
    </row>
    <row r="21" spans="1:7" x14ac:dyDescent="0.55000000000000004">
      <c r="A21" t="s">
        <v>107</v>
      </c>
      <c r="B21" t="s">
        <v>109</v>
      </c>
      <c r="C21" t="s">
        <v>111</v>
      </c>
      <c r="D21" s="2" t="s">
        <v>84</v>
      </c>
    </row>
    <row r="22" spans="1:7" x14ac:dyDescent="0.55000000000000004">
      <c r="A22" t="s">
        <v>108</v>
      </c>
      <c r="B22" t="s">
        <v>109</v>
      </c>
      <c r="C22" t="s">
        <v>112</v>
      </c>
      <c r="D22" s="2" t="s">
        <v>84</v>
      </c>
    </row>
    <row r="23" spans="1:7" x14ac:dyDescent="0.55000000000000004">
      <c r="A23" t="s">
        <v>113</v>
      </c>
      <c r="B23" t="s">
        <v>109</v>
      </c>
      <c r="C23" t="s">
        <v>117</v>
      </c>
      <c r="D23">
        <v>2050</v>
      </c>
      <c r="F23" s="2"/>
    </row>
    <row r="24" spans="1:7" x14ac:dyDescent="0.55000000000000004">
      <c r="A24" t="s">
        <v>114</v>
      </c>
      <c r="B24" t="s">
        <v>109</v>
      </c>
      <c r="C24" t="s">
        <v>118</v>
      </c>
      <c r="D24">
        <v>2050</v>
      </c>
    </row>
    <row r="25" spans="1:7" x14ac:dyDescent="0.55000000000000004">
      <c r="A25" t="s">
        <v>115</v>
      </c>
      <c r="B25" t="s">
        <v>109</v>
      </c>
      <c r="C25" t="s">
        <v>116</v>
      </c>
      <c r="D25">
        <v>2050</v>
      </c>
    </row>
    <row r="26" spans="1:7" x14ac:dyDescent="0.55000000000000004">
      <c r="A26" t="s">
        <v>119</v>
      </c>
      <c r="B26" t="s">
        <v>22</v>
      </c>
      <c r="C26" t="s">
        <v>120</v>
      </c>
      <c r="D26">
        <v>2050</v>
      </c>
    </row>
    <row r="27" spans="1:7" x14ac:dyDescent="0.55000000000000004">
      <c r="G27" s="2"/>
    </row>
    <row r="28" spans="1:7" x14ac:dyDescent="0.55000000000000004">
      <c r="F28" s="2"/>
    </row>
    <row r="29" spans="1:7" x14ac:dyDescent="0.55000000000000004">
      <c r="F29" s="2"/>
    </row>
    <row r="30" spans="1:7" x14ac:dyDescent="0.55000000000000004">
      <c r="F30" s="2"/>
    </row>
    <row r="31" spans="1:7" x14ac:dyDescent="0.55000000000000004">
      <c r="F31" s="2"/>
    </row>
    <row r="32" spans="1:7" x14ac:dyDescent="0.55000000000000004">
      <c r="F32" s="2"/>
    </row>
    <row r="33" spans="3:7" x14ac:dyDescent="0.55000000000000004">
      <c r="G33" s="2"/>
    </row>
    <row r="34" spans="3:7" x14ac:dyDescent="0.55000000000000004">
      <c r="G34" s="2"/>
    </row>
    <row r="35" spans="3:7" x14ac:dyDescent="0.55000000000000004">
      <c r="G35" s="2"/>
    </row>
    <row r="36" spans="3:7" x14ac:dyDescent="0.55000000000000004">
      <c r="G36" s="2"/>
    </row>
    <row r="39" spans="3:7" x14ac:dyDescent="0.55000000000000004">
      <c r="C39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1C49-52D1-4585-8CC4-8EA67B64B8CB}">
  <dimension ref="A1:G35"/>
  <sheetViews>
    <sheetView workbookViewId="0">
      <selection sqref="A1:XFD1048576"/>
    </sheetView>
  </sheetViews>
  <sheetFormatPr defaultRowHeight="14.4" x14ac:dyDescent="0.55000000000000004"/>
  <cols>
    <col min="1" max="1" width="39" bestFit="1" customWidth="1"/>
    <col min="2" max="2" width="11.9453125" bestFit="1" customWidth="1"/>
    <col min="3" max="3" width="65.26171875" bestFit="1" customWidth="1"/>
    <col min="4" max="4" width="23.89453125" bestFit="1" customWidth="1"/>
    <col min="5" max="5" width="9.89453125" customWidth="1"/>
    <col min="18" max="19" width="8.20703125" customWidth="1"/>
    <col min="20" max="20" width="12.5234375" bestFit="1" customWidth="1"/>
  </cols>
  <sheetData>
    <row r="1" spans="1:7" x14ac:dyDescent="0.55000000000000004">
      <c r="A1" t="s">
        <v>51</v>
      </c>
      <c r="B1" t="s">
        <v>73</v>
      </c>
      <c r="C1" t="s">
        <v>71</v>
      </c>
      <c r="D1" t="s">
        <v>83</v>
      </c>
    </row>
    <row r="2" spans="1:7" x14ac:dyDescent="0.55000000000000004">
      <c r="A2" t="s">
        <v>121</v>
      </c>
      <c r="B2" t="s">
        <v>122</v>
      </c>
      <c r="C2" t="s">
        <v>124</v>
      </c>
      <c r="D2" s="2" t="s">
        <v>84</v>
      </c>
      <c r="E2" s="1"/>
      <c r="G2" s="2"/>
    </row>
    <row r="3" spans="1:7" x14ac:dyDescent="0.55000000000000004">
      <c r="A3" t="s">
        <v>123</v>
      </c>
      <c r="B3" t="s">
        <v>122</v>
      </c>
      <c r="C3" t="s">
        <v>125</v>
      </c>
      <c r="D3" s="2" t="s">
        <v>84</v>
      </c>
      <c r="G3" s="2"/>
    </row>
    <row r="4" spans="1:7" x14ac:dyDescent="0.55000000000000004">
      <c r="A4" t="s">
        <v>126</v>
      </c>
      <c r="B4" t="s">
        <v>144</v>
      </c>
      <c r="C4" t="s">
        <v>127</v>
      </c>
      <c r="D4" s="2">
        <v>2050</v>
      </c>
    </row>
    <row r="5" spans="1:7" x14ac:dyDescent="0.55000000000000004">
      <c r="A5" t="s">
        <v>128</v>
      </c>
      <c r="B5" t="s">
        <v>109</v>
      </c>
      <c r="C5" t="s">
        <v>136</v>
      </c>
      <c r="D5" s="2" t="s">
        <v>84</v>
      </c>
      <c r="E5" s="2"/>
    </row>
    <row r="6" spans="1:7" x14ac:dyDescent="0.55000000000000004">
      <c r="A6" t="s">
        <v>129</v>
      </c>
      <c r="B6" t="s">
        <v>109</v>
      </c>
      <c r="C6" t="s">
        <v>137</v>
      </c>
      <c r="D6" s="2" t="s">
        <v>84</v>
      </c>
      <c r="E6" s="2"/>
    </row>
    <row r="7" spans="1:7" x14ac:dyDescent="0.55000000000000004">
      <c r="A7" t="s">
        <v>130</v>
      </c>
      <c r="B7" t="s">
        <v>109</v>
      </c>
      <c r="C7" t="s">
        <v>140</v>
      </c>
      <c r="D7" s="2" t="s">
        <v>84</v>
      </c>
      <c r="E7" s="2"/>
    </row>
    <row r="8" spans="1:7" x14ac:dyDescent="0.55000000000000004">
      <c r="A8" t="s">
        <v>131</v>
      </c>
      <c r="B8" t="s">
        <v>109</v>
      </c>
      <c r="C8" t="s">
        <v>138</v>
      </c>
      <c r="D8" s="2" t="s">
        <v>84</v>
      </c>
      <c r="E8" s="2"/>
    </row>
    <row r="9" spans="1:7" x14ac:dyDescent="0.55000000000000004">
      <c r="A9" t="s">
        <v>132</v>
      </c>
      <c r="B9" t="s">
        <v>109</v>
      </c>
      <c r="C9" t="s">
        <v>139</v>
      </c>
      <c r="D9" s="2" t="s">
        <v>84</v>
      </c>
      <c r="F9" s="2"/>
    </row>
    <row r="10" spans="1:7" x14ac:dyDescent="0.55000000000000004">
      <c r="A10" t="s">
        <v>133</v>
      </c>
      <c r="B10" t="s">
        <v>109</v>
      </c>
      <c r="C10" t="s">
        <v>141</v>
      </c>
      <c r="D10" s="2" t="s">
        <v>84</v>
      </c>
      <c r="G10" s="2"/>
    </row>
    <row r="11" spans="1:7" x14ac:dyDescent="0.55000000000000004">
      <c r="A11" t="s">
        <v>134</v>
      </c>
      <c r="B11" t="s">
        <v>109</v>
      </c>
      <c r="C11" t="s">
        <v>142</v>
      </c>
      <c r="D11" s="2" t="s">
        <v>84</v>
      </c>
      <c r="E11" s="2"/>
      <c r="F11" s="2"/>
    </row>
    <row r="12" spans="1:7" x14ac:dyDescent="0.55000000000000004">
      <c r="A12" t="s">
        <v>135</v>
      </c>
      <c r="B12" t="s">
        <v>109</v>
      </c>
      <c r="C12" t="s">
        <v>143</v>
      </c>
      <c r="D12" s="2" t="s">
        <v>84</v>
      </c>
    </row>
    <row r="13" spans="1:7" x14ac:dyDescent="0.55000000000000004">
      <c r="A13" t="s">
        <v>145</v>
      </c>
      <c r="B13" t="s">
        <v>146</v>
      </c>
      <c r="C13" t="s">
        <v>147</v>
      </c>
      <c r="D13" s="2" t="s">
        <v>84</v>
      </c>
      <c r="E13" s="2"/>
    </row>
    <row r="14" spans="1:7" x14ac:dyDescent="0.55000000000000004">
      <c r="A14" t="s">
        <v>148</v>
      </c>
      <c r="B14" t="s">
        <v>149</v>
      </c>
      <c r="C14" t="s">
        <v>150</v>
      </c>
      <c r="D14" s="2" t="s">
        <v>84</v>
      </c>
      <c r="F14" s="2"/>
    </row>
    <row r="15" spans="1:7" x14ac:dyDescent="0.55000000000000004">
      <c r="A15" t="s">
        <v>151</v>
      </c>
      <c r="B15" t="s">
        <v>149</v>
      </c>
      <c r="C15" t="s">
        <v>153</v>
      </c>
      <c r="D15" s="2" t="s">
        <v>84</v>
      </c>
      <c r="F15" s="2"/>
    </row>
    <row r="16" spans="1:7" x14ac:dyDescent="0.55000000000000004">
      <c r="A16" t="s">
        <v>152</v>
      </c>
      <c r="B16" t="s">
        <v>149</v>
      </c>
      <c r="C16" t="s">
        <v>154</v>
      </c>
      <c r="D16" s="2" t="s">
        <v>84</v>
      </c>
    </row>
    <row r="17" spans="4:7" x14ac:dyDescent="0.55000000000000004">
      <c r="D17" s="2"/>
    </row>
    <row r="18" spans="4:7" x14ac:dyDescent="0.55000000000000004">
      <c r="D18" s="2"/>
    </row>
    <row r="19" spans="4:7" x14ac:dyDescent="0.55000000000000004">
      <c r="F19" s="2"/>
    </row>
    <row r="23" spans="4:7" x14ac:dyDescent="0.55000000000000004">
      <c r="G23" s="2"/>
    </row>
    <row r="24" spans="4:7" x14ac:dyDescent="0.55000000000000004">
      <c r="F24" s="2"/>
    </row>
    <row r="25" spans="4:7" x14ac:dyDescent="0.55000000000000004">
      <c r="F25" s="2"/>
    </row>
    <row r="26" spans="4:7" x14ac:dyDescent="0.55000000000000004">
      <c r="F26" s="2"/>
    </row>
    <row r="27" spans="4:7" x14ac:dyDescent="0.55000000000000004">
      <c r="F27" s="2"/>
    </row>
    <row r="28" spans="4:7" x14ac:dyDescent="0.55000000000000004">
      <c r="F28" s="2"/>
    </row>
    <row r="29" spans="4:7" x14ac:dyDescent="0.55000000000000004">
      <c r="G29" s="2"/>
    </row>
    <row r="30" spans="4:7" x14ac:dyDescent="0.55000000000000004">
      <c r="G30" s="2"/>
    </row>
    <row r="31" spans="4:7" x14ac:dyDescent="0.55000000000000004">
      <c r="G31" s="2"/>
    </row>
    <row r="32" spans="4:7" x14ac:dyDescent="0.55000000000000004">
      <c r="G32" s="2"/>
    </row>
    <row r="35" spans="3:3" x14ac:dyDescent="0.55000000000000004">
      <c r="C35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5F88-DBCE-4A02-90FC-673A1C3EA0E7}">
  <dimension ref="A1:G35"/>
  <sheetViews>
    <sheetView workbookViewId="0">
      <selection sqref="A1:XFD1048576"/>
    </sheetView>
  </sheetViews>
  <sheetFormatPr defaultRowHeight="14.4" x14ac:dyDescent="0.55000000000000004"/>
  <cols>
    <col min="1" max="1" width="39" bestFit="1" customWidth="1"/>
    <col min="2" max="2" width="11.9453125" bestFit="1" customWidth="1"/>
    <col min="3" max="3" width="34.5234375" bestFit="1" customWidth="1"/>
    <col min="4" max="4" width="23.89453125" bestFit="1" customWidth="1"/>
    <col min="5" max="5" width="9.89453125" customWidth="1"/>
    <col min="18" max="19" width="8.20703125" customWidth="1"/>
    <col min="20" max="20" width="12.5234375" bestFit="1" customWidth="1"/>
  </cols>
  <sheetData>
    <row r="1" spans="1:7" x14ac:dyDescent="0.55000000000000004">
      <c r="A1" t="s">
        <v>51</v>
      </c>
      <c r="B1" t="s">
        <v>73</v>
      </c>
      <c r="C1" t="s">
        <v>71</v>
      </c>
      <c r="D1" t="s">
        <v>83</v>
      </c>
    </row>
    <row r="2" spans="1:7" x14ac:dyDescent="0.55000000000000004">
      <c r="A2" t="s">
        <v>159</v>
      </c>
      <c r="B2" t="s">
        <v>164</v>
      </c>
      <c r="C2" t="s">
        <v>165</v>
      </c>
      <c r="D2" s="2" t="s">
        <v>84</v>
      </c>
      <c r="E2" s="1"/>
      <c r="G2" s="2"/>
    </row>
    <row r="3" spans="1:7" x14ac:dyDescent="0.55000000000000004">
      <c r="A3" t="s">
        <v>160</v>
      </c>
      <c r="B3" t="s">
        <v>164</v>
      </c>
      <c r="C3" t="s">
        <v>166</v>
      </c>
      <c r="D3" s="2" t="s">
        <v>84</v>
      </c>
      <c r="G3" s="2"/>
    </row>
    <row r="4" spans="1:7" x14ac:dyDescent="0.55000000000000004">
      <c r="A4" t="s">
        <v>161</v>
      </c>
      <c r="B4" t="s">
        <v>144</v>
      </c>
      <c r="C4" t="s">
        <v>167</v>
      </c>
      <c r="D4" s="2">
        <v>2050</v>
      </c>
    </row>
    <row r="5" spans="1:7" x14ac:dyDescent="0.55000000000000004">
      <c r="A5" t="s">
        <v>162</v>
      </c>
      <c r="B5" t="s">
        <v>144</v>
      </c>
      <c r="C5" t="s">
        <v>168</v>
      </c>
      <c r="D5" s="2" t="s">
        <v>84</v>
      </c>
      <c r="E5" s="2"/>
    </row>
    <row r="6" spans="1:7" x14ac:dyDescent="0.55000000000000004">
      <c r="A6" t="s">
        <v>163</v>
      </c>
      <c r="B6" t="s">
        <v>164</v>
      </c>
      <c r="C6" t="s">
        <v>169</v>
      </c>
      <c r="D6" s="2">
        <v>2050</v>
      </c>
      <c r="E6" s="2"/>
    </row>
    <row r="7" spans="1:7" x14ac:dyDescent="0.55000000000000004">
      <c r="D7" s="2"/>
      <c r="E7" s="2"/>
    </row>
    <row r="8" spans="1:7" x14ac:dyDescent="0.55000000000000004">
      <c r="D8" s="2"/>
      <c r="E8" s="2"/>
    </row>
    <row r="9" spans="1:7" x14ac:dyDescent="0.55000000000000004">
      <c r="D9" s="2"/>
      <c r="F9" s="2"/>
    </row>
    <row r="10" spans="1:7" x14ac:dyDescent="0.55000000000000004">
      <c r="D10" s="2"/>
      <c r="G10" s="2"/>
    </row>
    <row r="11" spans="1:7" x14ac:dyDescent="0.55000000000000004">
      <c r="D11" s="2"/>
      <c r="E11" s="2"/>
      <c r="F11" s="2"/>
    </row>
    <row r="12" spans="1:7" x14ac:dyDescent="0.55000000000000004">
      <c r="D12" s="2"/>
    </row>
    <row r="13" spans="1:7" x14ac:dyDescent="0.55000000000000004">
      <c r="D13" s="2"/>
      <c r="E13" s="2"/>
    </row>
    <row r="14" spans="1:7" x14ac:dyDescent="0.55000000000000004">
      <c r="D14" s="2"/>
      <c r="F14" s="2"/>
    </row>
    <row r="15" spans="1:7" x14ac:dyDescent="0.55000000000000004">
      <c r="D15" s="2"/>
      <c r="F15" s="2"/>
    </row>
    <row r="16" spans="1:7" x14ac:dyDescent="0.55000000000000004">
      <c r="D16" s="2"/>
    </row>
    <row r="17" spans="4:7" x14ac:dyDescent="0.55000000000000004">
      <c r="D17" s="2"/>
    </row>
    <row r="18" spans="4:7" x14ac:dyDescent="0.55000000000000004">
      <c r="D18" s="2"/>
    </row>
    <row r="19" spans="4:7" x14ac:dyDescent="0.55000000000000004">
      <c r="F19" s="2"/>
    </row>
    <row r="23" spans="4:7" x14ac:dyDescent="0.55000000000000004">
      <c r="G23" s="2"/>
    </row>
    <row r="24" spans="4:7" x14ac:dyDescent="0.55000000000000004">
      <c r="F24" s="2"/>
    </row>
    <row r="25" spans="4:7" x14ac:dyDescent="0.55000000000000004">
      <c r="F25" s="2"/>
    </row>
    <row r="26" spans="4:7" x14ac:dyDescent="0.55000000000000004">
      <c r="F26" s="2"/>
    </row>
    <row r="27" spans="4:7" x14ac:dyDescent="0.55000000000000004">
      <c r="F27" s="2"/>
    </row>
    <row r="28" spans="4:7" x14ac:dyDescent="0.55000000000000004">
      <c r="F28" s="2"/>
    </row>
    <row r="29" spans="4:7" x14ac:dyDescent="0.55000000000000004">
      <c r="G29" s="2"/>
    </row>
    <row r="30" spans="4:7" x14ac:dyDescent="0.55000000000000004">
      <c r="G30" s="2"/>
    </row>
    <row r="31" spans="4:7" x14ac:dyDescent="0.55000000000000004">
      <c r="G31" s="2"/>
    </row>
    <row r="32" spans="4:7" x14ac:dyDescent="0.55000000000000004">
      <c r="G32" s="2"/>
    </row>
    <row r="35" spans="3:3" x14ac:dyDescent="0.55000000000000004">
      <c r="C3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00FB-0AB6-4F7A-9473-5241ACF61BF9}">
  <dimension ref="A1:G35"/>
  <sheetViews>
    <sheetView workbookViewId="0">
      <selection activeCell="B18" sqref="B18"/>
    </sheetView>
  </sheetViews>
  <sheetFormatPr defaultRowHeight="14.4" x14ac:dyDescent="0.55000000000000004"/>
  <cols>
    <col min="1" max="1" width="48.3671875" bestFit="1" customWidth="1"/>
    <col min="2" max="2" width="11.9453125" bestFit="1" customWidth="1"/>
    <col min="3" max="3" width="34.5234375" bestFit="1" customWidth="1"/>
    <col min="4" max="4" width="25.734375" bestFit="1" customWidth="1"/>
    <col min="5" max="5" width="9.89453125" customWidth="1"/>
    <col min="18" max="19" width="8.20703125" customWidth="1"/>
    <col min="20" max="20" width="12.5234375" bestFit="1" customWidth="1"/>
  </cols>
  <sheetData>
    <row r="1" spans="1:7" x14ac:dyDescent="0.55000000000000004">
      <c r="A1" t="s">
        <v>51</v>
      </c>
      <c r="B1" t="s">
        <v>73</v>
      </c>
      <c r="C1" t="s">
        <v>71</v>
      </c>
      <c r="D1" t="s">
        <v>83</v>
      </c>
    </row>
    <row r="2" spans="1:7" x14ac:dyDescent="0.55000000000000004">
      <c r="A2" t="s">
        <v>170</v>
      </c>
      <c r="B2" t="s">
        <v>109</v>
      </c>
      <c r="C2" t="s">
        <v>175</v>
      </c>
      <c r="D2" s="2" t="s">
        <v>176</v>
      </c>
      <c r="E2" s="1"/>
      <c r="G2" s="2"/>
    </row>
    <row r="3" spans="1:7" x14ac:dyDescent="0.55000000000000004">
      <c r="A3" t="s">
        <v>172</v>
      </c>
      <c r="B3" t="s">
        <v>109</v>
      </c>
      <c r="C3" t="s">
        <v>177</v>
      </c>
      <c r="D3" s="2" t="s">
        <v>176</v>
      </c>
      <c r="G3" s="2"/>
    </row>
    <row r="4" spans="1:7" x14ac:dyDescent="0.55000000000000004">
      <c r="A4" t="s">
        <v>173</v>
      </c>
      <c r="B4" t="s">
        <v>109</v>
      </c>
      <c r="C4" t="s">
        <v>178</v>
      </c>
      <c r="D4" s="2" t="s">
        <v>176</v>
      </c>
    </row>
    <row r="5" spans="1:7" x14ac:dyDescent="0.55000000000000004">
      <c r="A5" t="s">
        <v>174</v>
      </c>
      <c r="B5" t="s">
        <v>109</v>
      </c>
      <c r="C5" t="s">
        <v>179</v>
      </c>
      <c r="D5" s="2" t="s">
        <v>176</v>
      </c>
      <c r="E5" s="2"/>
    </row>
    <row r="6" spans="1:7" x14ac:dyDescent="0.55000000000000004">
      <c r="A6" t="s">
        <v>171</v>
      </c>
      <c r="B6" t="s">
        <v>109</v>
      </c>
      <c r="C6" t="s">
        <v>180</v>
      </c>
      <c r="D6" s="2" t="s">
        <v>176</v>
      </c>
      <c r="E6" s="2"/>
    </row>
    <row r="7" spans="1:7" x14ac:dyDescent="0.55000000000000004">
      <c r="D7" s="2"/>
      <c r="E7" s="2"/>
    </row>
    <row r="8" spans="1:7" x14ac:dyDescent="0.55000000000000004">
      <c r="D8" s="2"/>
      <c r="E8" s="2"/>
    </row>
    <row r="9" spans="1:7" x14ac:dyDescent="0.55000000000000004">
      <c r="D9" s="2"/>
      <c r="F9" s="2"/>
    </row>
    <row r="10" spans="1:7" x14ac:dyDescent="0.55000000000000004">
      <c r="D10" s="2"/>
      <c r="G10" s="2"/>
    </row>
    <row r="11" spans="1:7" x14ac:dyDescent="0.55000000000000004">
      <c r="D11" s="2"/>
      <c r="E11" s="2"/>
      <c r="F11" s="2"/>
    </row>
    <row r="12" spans="1:7" x14ac:dyDescent="0.55000000000000004">
      <c r="D12" s="2"/>
    </row>
    <row r="13" spans="1:7" x14ac:dyDescent="0.55000000000000004">
      <c r="D13" s="2"/>
      <c r="E13" s="2"/>
    </row>
    <row r="14" spans="1:7" x14ac:dyDescent="0.55000000000000004">
      <c r="D14" s="2"/>
      <c r="F14" s="2"/>
    </row>
    <row r="15" spans="1:7" x14ac:dyDescent="0.55000000000000004">
      <c r="D15" s="2"/>
      <c r="F15" s="2"/>
    </row>
    <row r="16" spans="1:7" x14ac:dyDescent="0.55000000000000004">
      <c r="D16" s="2"/>
    </row>
    <row r="17" spans="4:7" x14ac:dyDescent="0.55000000000000004">
      <c r="D17" s="2"/>
    </row>
    <row r="18" spans="4:7" x14ac:dyDescent="0.55000000000000004">
      <c r="D18" s="2"/>
    </row>
    <row r="19" spans="4:7" x14ac:dyDescent="0.55000000000000004">
      <c r="F19" s="2"/>
    </row>
    <row r="23" spans="4:7" x14ac:dyDescent="0.55000000000000004">
      <c r="G23" s="2"/>
    </row>
    <row r="24" spans="4:7" x14ac:dyDescent="0.55000000000000004">
      <c r="F24" s="2"/>
    </row>
    <row r="25" spans="4:7" x14ac:dyDescent="0.55000000000000004">
      <c r="F25" s="2"/>
    </row>
    <row r="26" spans="4:7" x14ac:dyDescent="0.55000000000000004">
      <c r="F26" s="2"/>
    </row>
    <row r="27" spans="4:7" x14ac:dyDescent="0.55000000000000004">
      <c r="F27" s="2"/>
    </row>
    <row r="28" spans="4:7" x14ac:dyDescent="0.55000000000000004">
      <c r="F28" s="2"/>
    </row>
    <row r="29" spans="4:7" x14ac:dyDescent="0.55000000000000004">
      <c r="G29" s="2"/>
    </row>
    <row r="30" spans="4:7" x14ac:dyDescent="0.55000000000000004">
      <c r="G30" s="2"/>
    </row>
    <row r="31" spans="4:7" x14ac:dyDescent="0.55000000000000004">
      <c r="G31" s="2"/>
    </row>
    <row r="32" spans="4:7" x14ac:dyDescent="0.55000000000000004">
      <c r="G32" s="2"/>
    </row>
    <row r="35" spans="3:3" x14ac:dyDescent="0.55000000000000004">
      <c r="C3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3D4C2-B5A4-4D91-9DDD-8654D3E63A97}">
  <dimension ref="A1:H40"/>
  <sheetViews>
    <sheetView topLeftCell="A7" zoomScale="78" zoomScaleNormal="85" workbookViewId="0">
      <selection activeCell="B38" sqref="B38"/>
    </sheetView>
  </sheetViews>
  <sheetFormatPr defaultRowHeight="14.4" x14ac:dyDescent="0.55000000000000004"/>
  <cols>
    <col min="1" max="1" width="27.41796875" bestFit="1" customWidth="1"/>
    <col min="4" max="4" width="29.20703125" bestFit="1" customWidth="1"/>
    <col min="16" max="17" width="8.20703125" customWidth="1"/>
    <col min="18" max="18" width="12.5234375" bestFit="1" customWidth="1"/>
  </cols>
  <sheetData>
    <row r="1" spans="1:8" x14ac:dyDescent="0.55000000000000004">
      <c r="A1" t="s">
        <v>204</v>
      </c>
      <c r="B1" t="s">
        <v>11</v>
      </c>
      <c r="C1" t="s">
        <v>0</v>
      </c>
      <c r="D1" t="s">
        <v>51</v>
      </c>
      <c r="E1" t="s">
        <v>38</v>
      </c>
    </row>
    <row r="2" spans="1:8" x14ac:dyDescent="0.55000000000000004">
      <c r="B2">
        <v>0</v>
      </c>
      <c r="C2">
        <v>1</v>
      </c>
      <c r="D2" t="s">
        <v>223</v>
      </c>
      <c r="E2">
        <v>2</v>
      </c>
    </row>
    <row r="3" spans="1:8" x14ac:dyDescent="0.55000000000000004">
      <c r="B3">
        <v>0</v>
      </c>
      <c r="C3">
        <v>0.3</v>
      </c>
      <c r="D3" t="s">
        <v>53</v>
      </c>
      <c r="E3">
        <v>2</v>
      </c>
    </row>
    <row r="4" spans="1:8" x14ac:dyDescent="0.55000000000000004">
      <c r="B4">
        <v>0</v>
      </c>
      <c r="C4">
        <v>0.2</v>
      </c>
      <c r="D4" t="s">
        <v>224</v>
      </c>
      <c r="E4">
        <v>2</v>
      </c>
    </row>
    <row r="5" spans="1:8" x14ac:dyDescent="0.55000000000000004">
      <c r="B5">
        <v>50</v>
      </c>
      <c r="C5">
        <v>100</v>
      </c>
      <c r="D5" t="s">
        <v>65</v>
      </c>
      <c r="E5">
        <v>2</v>
      </c>
    </row>
    <row r="6" spans="1:8" x14ac:dyDescent="0.55000000000000004">
      <c r="B6">
        <v>0</v>
      </c>
      <c r="C6">
        <v>1</v>
      </c>
      <c r="D6" t="s">
        <v>57</v>
      </c>
      <c r="E6">
        <v>2</v>
      </c>
    </row>
    <row r="7" spans="1:8" x14ac:dyDescent="0.55000000000000004">
      <c r="B7">
        <v>0</v>
      </c>
      <c r="C7">
        <v>2</v>
      </c>
      <c r="D7" t="s">
        <v>62</v>
      </c>
      <c r="E7">
        <v>2</v>
      </c>
      <c r="H7">
        <v>100</v>
      </c>
    </row>
    <row r="8" spans="1:8" x14ac:dyDescent="0.55000000000000004">
      <c r="B8">
        <v>0</v>
      </c>
      <c r="C8">
        <v>1</v>
      </c>
      <c r="D8" t="s">
        <v>56</v>
      </c>
      <c r="E8">
        <v>2</v>
      </c>
      <c r="G8">
        <f>PRODUCT(E2:E8)</f>
        <v>128</v>
      </c>
      <c r="H8">
        <f>G8*H7</f>
        <v>12800</v>
      </c>
    </row>
    <row r="10" spans="1:8" x14ac:dyDescent="0.55000000000000004">
      <c r="E10" s="2"/>
    </row>
    <row r="12" spans="1:8" x14ac:dyDescent="0.55000000000000004">
      <c r="A12" t="s">
        <v>222</v>
      </c>
      <c r="B12" t="s">
        <v>11</v>
      </c>
      <c r="C12" t="s">
        <v>0</v>
      </c>
      <c r="D12" t="s">
        <v>51</v>
      </c>
    </row>
    <row r="13" spans="1:8" x14ac:dyDescent="0.55000000000000004">
      <c r="B13">
        <v>-0.2</v>
      </c>
      <c r="C13">
        <v>0.2</v>
      </c>
      <c r="D13" t="s">
        <v>205</v>
      </c>
    </row>
    <row r="14" spans="1:8" x14ac:dyDescent="0.55000000000000004">
      <c r="B14">
        <v>-0.2</v>
      </c>
      <c r="C14">
        <v>0.2</v>
      </c>
      <c r="D14" t="s">
        <v>206</v>
      </c>
    </row>
    <row r="15" spans="1:8" x14ac:dyDescent="0.55000000000000004">
      <c r="B15">
        <v>-0.1</v>
      </c>
      <c r="C15">
        <v>0.1</v>
      </c>
      <c r="D15" t="s">
        <v>207</v>
      </c>
    </row>
    <row r="16" spans="1:8" x14ac:dyDescent="0.55000000000000004">
      <c r="B16">
        <v>-0.3</v>
      </c>
      <c r="C16">
        <v>0.3</v>
      </c>
      <c r="D16" t="s">
        <v>208</v>
      </c>
    </row>
    <row r="17" spans="1:4" x14ac:dyDescent="0.55000000000000004">
      <c r="B17">
        <v>-0.3</v>
      </c>
      <c r="C17">
        <v>1</v>
      </c>
      <c r="D17" t="s">
        <v>209</v>
      </c>
    </row>
    <row r="18" spans="1:4" x14ac:dyDescent="0.55000000000000004">
      <c r="B18">
        <v>-0.2</v>
      </c>
      <c r="C18">
        <v>0.2</v>
      </c>
      <c r="D18" t="s">
        <v>210</v>
      </c>
    </row>
    <row r="19" spans="1:4" x14ac:dyDescent="0.55000000000000004">
      <c r="B19">
        <v>-0.2</v>
      </c>
      <c r="C19">
        <v>0.2</v>
      </c>
      <c r="D19" t="s">
        <v>211</v>
      </c>
    </row>
    <row r="20" spans="1:4" x14ac:dyDescent="0.55000000000000004">
      <c r="B20">
        <v>-0.2</v>
      </c>
      <c r="C20">
        <v>0.2</v>
      </c>
      <c r="D20" t="s">
        <v>212</v>
      </c>
    </row>
    <row r="21" spans="1:4" x14ac:dyDescent="0.55000000000000004">
      <c r="B21">
        <v>-0.2</v>
      </c>
      <c r="C21">
        <v>0.2</v>
      </c>
      <c r="D21" t="s">
        <v>213</v>
      </c>
    </row>
    <row r="22" spans="1:4" x14ac:dyDescent="0.55000000000000004">
      <c r="B22">
        <v>-0.2</v>
      </c>
      <c r="C22">
        <v>0.2</v>
      </c>
      <c r="D22" t="s">
        <v>214</v>
      </c>
    </row>
    <row r="23" spans="1:4" x14ac:dyDescent="0.55000000000000004">
      <c r="B23">
        <v>-0.2</v>
      </c>
      <c r="C23">
        <v>0.2</v>
      </c>
      <c r="D23" t="s">
        <v>215</v>
      </c>
    </row>
    <row r="24" spans="1:4" x14ac:dyDescent="0.55000000000000004">
      <c r="B24">
        <v>-0.2</v>
      </c>
      <c r="C24">
        <v>0.2</v>
      </c>
      <c r="D24" t="s">
        <v>216</v>
      </c>
    </row>
    <row r="25" spans="1:4" x14ac:dyDescent="0.55000000000000004">
      <c r="B25">
        <v>-0.2</v>
      </c>
      <c r="C25">
        <v>0.2</v>
      </c>
      <c r="D25" t="s">
        <v>217</v>
      </c>
    </row>
    <row r="26" spans="1:4" x14ac:dyDescent="0.55000000000000004">
      <c r="B26">
        <v>-0.2</v>
      </c>
      <c r="C26">
        <v>0.2</v>
      </c>
      <c r="D26" t="s">
        <v>218</v>
      </c>
    </row>
    <row r="27" spans="1:4" x14ac:dyDescent="0.55000000000000004">
      <c r="B27">
        <v>-0.2</v>
      </c>
      <c r="C27">
        <v>0.2</v>
      </c>
      <c r="D27" t="s">
        <v>219</v>
      </c>
    </row>
    <row r="28" spans="1:4" x14ac:dyDescent="0.55000000000000004">
      <c r="B28">
        <v>-0.3</v>
      </c>
      <c r="C28">
        <v>0.3</v>
      </c>
      <c r="D28" t="s">
        <v>220</v>
      </c>
    </row>
    <row r="29" spans="1:4" x14ac:dyDescent="0.55000000000000004">
      <c r="B29">
        <v>-0.2</v>
      </c>
      <c r="C29">
        <v>0.2</v>
      </c>
      <c r="D29" t="s">
        <v>221</v>
      </c>
    </row>
    <row r="31" spans="1:4" x14ac:dyDescent="0.55000000000000004">
      <c r="A31" t="s">
        <v>225</v>
      </c>
    </row>
    <row r="32" spans="1:4" x14ac:dyDescent="0.55000000000000004">
      <c r="A32" t="s">
        <v>226</v>
      </c>
    </row>
    <row r="33" spans="1:1" x14ac:dyDescent="0.55000000000000004">
      <c r="A33" t="s">
        <v>227</v>
      </c>
    </row>
    <row r="34" spans="1:1" x14ac:dyDescent="0.55000000000000004">
      <c r="A34" t="s">
        <v>228</v>
      </c>
    </row>
    <row r="35" spans="1:1" x14ac:dyDescent="0.55000000000000004">
      <c r="A35" t="s">
        <v>229</v>
      </c>
    </row>
    <row r="36" spans="1:1" x14ac:dyDescent="0.55000000000000004">
      <c r="A36" t="s">
        <v>230</v>
      </c>
    </row>
    <row r="37" spans="1:1" x14ac:dyDescent="0.55000000000000004">
      <c r="A37" t="s">
        <v>231</v>
      </c>
    </row>
    <row r="38" spans="1:1" x14ac:dyDescent="0.55000000000000004">
      <c r="A38" t="s">
        <v>126</v>
      </c>
    </row>
    <row r="39" spans="1:1" x14ac:dyDescent="0.55000000000000004">
      <c r="A39" t="s">
        <v>232</v>
      </c>
    </row>
    <row r="40" spans="1:1" x14ac:dyDescent="0.55000000000000004">
      <c r="A40" t="s">
        <v>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A1C5DD1C76D544AACEF782C4501B75" ma:contentTypeVersion="19" ma:contentTypeDescription="Creare un nuovo documento." ma:contentTypeScope="" ma:versionID="e653d769d9bfe89dd5bdefbfba6c6e39">
  <xsd:schema xmlns:xsd="http://www.w3.org/2001/XMLSchema" xmlns:xs="http://www.w3.org/2001/XMLSchema" xmlns:p="http://schemas.microsoft.com/office/2006/metadata/properties" xmlns:ns2="5c44f38a-956f-4897-8911-fab8683ac3ce" xmlns:ns3="3a2a3416-dcc9-40bd-acae-10337fdfc866" targetNamespace="http://schemas.microsoft.com/office/2006/metadata/properties" ma:root="true" ma:fieldsID="07aee1c0ca2ce908aaeda2f09eacdfad" ns2:_="" ns3:_="">
    <xsd:import namespace="5c44f38a-956f-4897-8911-fab8683ac3ce"/>
    <xsd:import namespace="3a2a3416-dcc9-40bd-acae-10337fdfc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4f38a-956f-4897-8911-fab8683ac3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ec321eb7-7579-4b0b-aaae-46c07e4320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2a3416-dcc9-40bd-acae-10337fdfc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62fda95-da61-44e4-806b-901d9f895423}" ma:internalName="TaxCatchAll" ma:showField="CatchAllData" ma:web="3a2a3416-dcc9-40bd-acae-10337fdfc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44f38a-956f-4897-8911-fab8683ac3ce">
      <Terms xmlns="http://schemas.microsoft.com/office/infopath/2007/PartnerControls"/>
    </lcf76f155ced4ddcb4097134ff3c332f>
    <TaxCatchAll xmlns="3a2a3416-dcc9-40bd-acae-10337fdfc866" xsi:nil="true"/>
  </documentManagement>
</p:properties>
</file>

<file path=customXml/itemProps1.xml><?xml version="1.0" encoding="utf-8"?>
<ds:datastoreItem xmlns:ds="http://schemas.openxmlformats.org/officeDocument/2006/customXml" ds:itemID="{D08D01DF-8F46-468F-A608-4B7E4F9B98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4f38a-956f-4897-8911-fab8683ac3ce"/>
    <ds:schemaRef ds:uri="3a2a3416-dcc9-40bd-acae-10337fdfc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72B7A3-B346-4815-B448-DC03B0D10C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83D133-FCDF-4330-B50D-884A762A3932}">
  <ds:schemaRefs>
    <ds:schemaRef ds:uri="http://schemas.microsoft.com/office/2006/metadata/properties"/>
    <ds:schemaRef ds:uri="http://schemas.microsoft.com/office/infopath/2007/PartnerControls"/>
    <ds:schemaRef ds:uri="5c44f38a-956f-4897-8911-fab8683ac3ce"/>
    <ds:schemaRef ds:uri="3a2a3416-dcc9-40bd-acae-10337fdfc866"/>
  </ds:schemaRefs>
</ds:datastoreItem>
</file>

<file path=docMetadata/LabelInfo.xml><?xml version="1.0" encoding="utf-8"?>
<clbl:labelList xmlns:clbl="http://schemas.microsoft.com/office/2020/mipLabelMetadata">
  <clbl:label id="{832538a4-939e-4f12-952e-e33cf9e5689d}" enabled="0" method="" siteId="{832538a4-939e-4f12-952e-e33cf9e5689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</vt:lpstr>
      <vt:lpstr>Output PV e Batterie</vt:lpstr>
      <vt:lpstr>Output Risc e Risanamento</vt:lpstr>
      <vt:lpstr>Output Veicoli</vt:lpstr>
      <vt:lpstr>Output Elettricità</vt:lpstr>
      <vt:lpstr>Exploratory analysis</vt:lpstr>
    </vt:vector>
  </TitlesOfParts>
  <Company>SUPSI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Palucci Matteo</dc:creator>
  <cp:lastModifiedBy>Palucci Matteo</cp:lastModifiedBy>
  <dcterms:created xsi:type="dcterms:W3CDTF">2025-10-20T07:04:44Z</dcterms:created>
  <dcterms:modified xsi:type="dcterms:W3CDTF">2026-10-12T12:02:51Z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0x0101002DA1C5DD1C76D544AACEF782C4501B75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